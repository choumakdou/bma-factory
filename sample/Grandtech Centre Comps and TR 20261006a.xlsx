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&amp;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"/>
    <numFmt numFmtId="166" formatCode="0.0%"/>
    <numFmt numFmtId="167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sz val="9"/>
    </font>
    <font>
      <name val="Calibri"/>
      <color rgb="00000000"/>
      <sz val="10"/>
    </font>
    <font>
      <name val="Calibri"/>
      <color rgb="000000FF"/>
      <sz val="10"/>
    </font>
    <font>
      <name val="Calibri"/>
      <color rgb="00008000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F99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" fontId="4" fillId="0" borderId="1" pivotButton="0" quotePrefix="0" xfId="0"/>
    <xf numFmtId="164" fontId="4" fillId="0" borderId="1" applyAlignment="1" pivotButton="0" quotePrefix="0" xfId="0">
      <alignment horizontal="center" vertical="center"/>
    </xf>
    <xf numFmtId="3" fontId="4" fillId="0" borderId="1" pivotButton="0" quotePrefix="0" xfId="0"/>
    <xf numFmtId="165" fontId="4" fillId="0" borderId="1" pivotButton="0" quotePrefix="0" xfId="0"/>
    <xf numFmtId="3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9" fontId="4" fillId="0" borderId="1" pivotButton="0" quotePrefix="0" xfId="0"/>
    <xf numFmtId="165" fontId="3" fillId="0" borderId="1" pivotButton="0" quotePrefix="0" xfId="0"/>
    <xf numFmtId="166" fontId="5" fillId="0" borderId="1" pivotButton="0" quotePrefix="0" xfId="0"/>
    <xf numFmtId="166" fontId="4" fillId="0" borderId="1" pivotButton="0" quotePrefix="0" xfId="0"/>
    <xf numFmtId="166" fontId="3" fillId="0" borderId="1" pivotButton="0" quotePrefix="0" xfId="0"/>
    <xf numFmtId="4" fontId="3" fillId="0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1" pivotButton="0" quotePrefix="0" xfId="0"/>
    <xf numFmtId="164" fontId="4" fillId="0" borderId="1" pivotButton="0" quotePrefix="0" xfId="0"/>
    <xf numFmtId="0" fontId="6" fillId="4" borderId="1" pivotButton="0" quotePrefix="0" xfId="0"/>
    <xf numFmtId="3" fontId="6" fillId="4" borderId="1" pivotButton="0" quotePrefix="0" xfId="0"/>
    <xf numFmtId="3" fontId="7" fillId="4" borderId="1" pivotButton="0" quotePrefix="0" xfId="0"/>
    <xf numFmtId="3" fontId="5" fillId="0" borderId="1" pivotButton="0" quotePrefix="0" xfId="0"/>
    <xf numFmtId="1" fontId="5" fillId="0" borderId="1" pivotButton="0" quotePrefix="0" xfId="0"/>
    <xf numFmtId="0" fontId="8" fillId="0" borderId="0" applyAlignment="1" pivotButton="0" quotePrefix="0" xfId="0">
      <alignment vertical="top" wrapText="1"/>
    </xf>
    <xf numFmtId="10" fontId="4" fillId="0" borderId="1" pivotButton="0" quotePrefix="0" xfId="0"/>
    <xf numFmtId="167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7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8" customWidth="1" min="9" max="9"/>
    <col width="10" customWidth="1" min="10" max="10"/>
    <col width="11" customWidth="1" min="11" max="11"/>
    <col width="8" customWidth="1" min="12" max="12"/>
    <col width="12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1" customWidth="1" min="19" max="19"/>
    <col width="10" customWidth="1" min="20" max="20"/>
    <col width="10" customWidth="1" min="21" max="21"/>
    <col width="13" customWidth="1" min="22" max="22"/>
    <col width="11" customWidth="1" min="23" max="23"/>
    <col width="34" customWidth="1" min="24" max="24"/>
  </cols>
  <sheetData>
    <row r="1" ht="22" customHeight="1">
      <c r="A1" s="1" t="inlineStr">
        <is>
          <t>COMPARABLE RENTALS — DIRECT COMPARISON</t>
        </is>
      </c>
    </row>
    <row r="3" ht="30" customHeight="1">
      <c r="A3" s="2" t="inlineStr">
        <is>
          <t>#</t>
        </is>
      </c>
      <c r="B3" s="2" t="inlineStr">
        <is>
          <t>Address</t>
        </is>
      </c>
      <c r="C3" s="2" t="inlineStr">
        <is>
          <t>Year</t>
        </is>
      </c>
      <c r="D3" s="2" t="inlineStr">
        <is>
          <t>Date</t>
        </is>
      </c>
      <c r="E3" s="2" t="inlineStr">
        <is>
          <t>Rent (HK$)</t>
        </is>
      </c>
      <c r="F3" s="2" t="inlineStr">
        <is>
          <t>SA (sqm)</t>
        </is>
      </c>
      <c r="G3" s="2" t="inlineStr">
        <is>
          <t>Unit Px $/sqm</t>
        </is>
      </c>
      <c r="H3" s="2" t="inlineStr">
        <is>
          <t>Unit Px $/sqft</t>
        </is>
      </c>
      <c r="I3" s="2" t="inlineStr">
        <is>
          <t>Floor</t>
        </is>
      </c>
      <c r="J3" s="2" t="inlineStr">
        <is>
          <t>Aspect</t>
        </is>
      </c>
      <c r="K3" s="2" t="inlineStr">
        <is>
          <t>AC Platform</t>
        </is>
      </c>
      <c r="L3" s="2" t="inlineStr">
        <is>
          <t>AC %</t>
        </is>
      </c>
      <c r="M3" s="2" t="inlineStr">
        <is>
          <t>Effective SA</t>
        </is>
      </c>
      <c r="N3" s="2" t="inlineStr">
        <is>
          <t>Px Index</t>
        </is>
      </c>
      <c r="O3" s="2" t="inlineStr">
        <is>
          <t>Time %</t>
        </is>
      </c>
      <c r="P3" s="2" t="inlineStr">
        <is>
          <t>Floor %</t>
        </is>
      </c>
      <c r="Q3" s="2" t="inlineStr">
        <is>
          <t>QA %</t>
        </is>
      </c>
      <c r="R3" s="2" t="inlineStr">
        <is>
          <t>SW %</t>
        </is>
      </c>
      <c r="S3" s="2" t="inlineStr">
        <is>
          <t>Age &amp; Qual %</t>
        </is>
      </c>
      <c r="T3" s="2" t="inlineStr">
        <is>
          <t>Location %</t>
        </is>
      </c>
      <c r="U3" s="2" t="inlineStr">
        <is>
          <t>Total %</t>
        </is>
      </c>
      <c r="V3" s="2" t="inlineStr">
        <is>
          <t>Adjusted $/sqm</t>
        </is>
      </c>
      <c r="W3" s="2" t="inlineStr">
        <is>
          <t>Unrounded</t>
        </is>
      </c>
      <c r="X3" s="2" t="inlineStr">
        <is>
          <t>Remarks</t>
        </is>
      </c>
    </row>
    <row r="4">
      <c r="A4" s="3" t="n">
        <v>1</v>
      </c>
      <c r="B4" s="4" t="inlineStr">
        <is>
          <t>Unit 7, 18/F, Grandtech Centre</t>
        </is>
      </c>
      <c r="C4" s="5" t="n">
        <v>2026</v>
      </c>
      <c r="D4" s="6" t="n">
        <v>46143</v>
      </c>
      <c r="E4" s="7" t="n">
        <v>220000</v>
      </c>
      <c r="F4" s="8" t="n">
        <v>900</v>
      </c>
      <c r="G4" s="9">
        <f>ROUND(E4/M4,0)</f>
        <v/>
      </c>
      <c r="H4" s="9">
        <f>ROUND(G4/10.76391,0)</f>
        <v/>
      </c>
      <c r="I4" s="10" t="inlineStr">
        <is>
          <t>18/F</t>
        </is>
      </c>
      <c r="J4" s="10" t="inlineStr">
        <is>
          <t>E</t>
        </is>
      </c>
      <c r="K4" s="8" t="n">
        <v>0</v>
      </c>
      <c r="L4" s="11" t="n">
        <v>0</v>
      </c>
      <c r="M4" s="12">
        <f>F4+K4*L4</f>
        <v/>
      </c>
      <c r="N4" s="8" t="n">
        <v>366.2</v>
      </c>
      <c r="O4" s="13">
        <f>Summary!$B$6/N4-1</f>
        <v/>
      </c>
      <c r="P4" s="14" t="n">
        <v>-0.05</v>
      </c>
      <c r="Q4" s="14" t="n">
        <v>0</v>
      </c>
      <c r="R4" s="14" t="n">
        <v>-0.03</v>
      </c>
      <c r="S4" s="14" t="n">
        <v>0</v>
      </c>
      <c r="T4" s="14" t="n">
        <v>0</v>
      </c>
      <c r="U4" s="15">
        <f>SUM(O4:T4)</f>
        <v/>
      </c>
      <c r="V4" s="9">
        <f>ROUND(W4,0)</f>
        <v/>
      </c>
      <c r="W4" s="16">
        <f>E4/M4*(1+U4)</f>
        <v/>
      </c>
      <c r="X4" s="4" t="inlineStr">
        <is>
          <t>Same building, direct evidence</t>
        </is>
      </c>
    </row>
    <row r="5">
      <c r="A5" s="3" t="n">
        <v>2</v>
      </c>
      <c r="B5" s="4" t="inlineStr">
        <is>
          <t>Unit 20, 22/F, Grandtech Centre</t>
        </is>
      </c>
      <c r="C5" s="5" t="n">
        <v>2026</v>
      </c>
      <c r="D5" s="6" t="n">
        <v>46183</v>
      </c>
      <c r="E5" s="7" t="n">
        <v>205000</v>
      </c>
      <c r="F5" s="8" t="n">
        <v>850</v>
      </c>
      <c r="G5" s="9">
        <f>ROUND(E5/M5,0)</f>
        <v/>
      </c>
      <c r="H5" s="9">
        <f>ROUND(G5/10.76391,0)</f>
        <v/>
      </c>
      <c r="I5" s="10" t="inlineStr">
        <is>
          <t>22/F</t>
        </is>
      </c>
      <c r="J5" s="10" t="inlineStr">
        <is>
          <t>W</t>
        </is>
      </c>
      <c r="K5" s="8" t="n">
        <v>0</v>
      </c>
      <c r="L5" s="11" t="n">
        <v>0</v>
      </c>
      <c r="M5" s="12">
        <f>F5+K5*L5</f>
        <v/>
      </c>
      <c r="N5" s="8" t="n">
        <v>360.1</v>
      </c>
      <c r="O5" s="13">
        <f>Summary!$B$6/N5-1</f>
        <v/>
      </c>
      <c r="P5" s="14" t="n">
        <v>-0.08</v>
      </c>
      <c r="Q5" s="14" t="n">
        <v>-0.02</v>
      </c>
      <c r="R5" s="14" t="n">
        <v>-0.05</v>
      </c>
      <c r="S5" s="14" t="n">
        <v>0</v>
      </c>
      <c r="T5" s="14" t="n">
        <v>0</v>
      </c>
      <c r="U5" s="15">
        <f>SUM(O5:T5)</f>
        <v/>
      </c>
      <c r="V5" s="9">
        <f>ROUND(W5,0)</f>
        <v/>
      </c>
      <c r="W5" s="16">
        <f>E5/M5*(1+U5)</f>
        <v/>
      </c>
      <c r="X5" s="4" t="inlineStr">
        <is>
          <t>Higher floor, aspect differs</t>
        </is>
      </c>
    </row>
    <row r="6">
      <c r="A6" s="3" t="n">
        <v>3</v>
      </c>
      <c r="B6" s="4" t="inlineStr">
        <is>
          <t>Unit 3, 12/F, Millennium City, On Ping Street</t>
        </is>
      </c>
      <c r="C6" s="5" t="n">
        <v>2026</v>
      </c>
      <c r="D6" s="6" t="n">
        <v>46101</v>
      </c>
      <c r="E6" s="7" t="n">
        <v>195000</v>
      </c>
      <c r="F6" s="8" t="n">
        <v>820</v>
      </c>
      <c r="G6" s="9">
        <f>ROUND(E6/M6,0)</f>
        <v/>
      </c>
      <c r="H6" s="9">
        <f>ROUND(G6/10.76391,0)</f>
        <v/>
      </c>
      <c r="I6" s="10" t="inlineStr">
        <is>
          <t>12/F</t>
        </is>
      </c>
      <c r="J6" s="10" t="inlineStr">
        <is>
          <t>S</t>
        </is>
      </c>
      <c r="K6" s="8" t="n">
        <v>0</v>
      </c>
      <c r="L6" s="11" t="n">
        <v>0</v>
      </c>
      <c r="M6" s="12">
        <f>F6+K6*L6</f>
        <v/>
      </c>
      <c r="N6" s="8" t="n">
        <v>355.4</v>
      </c>
      <c r="O6" s="13">
        <f>Summary!$B$6/N6-1</f>
        <v/>
      </c>
      <c r="P6" s="14" t="n">
        <v>0.05</v>
      </c>
      <c r="Q6" s="14" t="n">
        <v>-0.03</v>
      </c>
      <c r="R6" s="14" t="n">
        <v>0</v>
      </c>
      <c r="S6" s="14" t="n">
        <v>-0.02</v>
      </c>
      <c r="T6" s="14" t="n">
        <v>-0.04</v>
      </c>
      <c r="U6" s="15">
        <f>SUM(O6:T6)</f>
        <v/>
      </c>
      <c r="V6" s="9">
        <f>ROUND(W6,0)</f>
        <v/>
      </c>
      <c r="W6" s="16">
        <f>E6/M6*(1+U6)</f>
        <v/>
      </c>
      <c r="X6" s="4" t="inlineStr">
        <is>
          <t>Sibling building, lower specification</t>
        </is>
      </c>
    </row>
    <row r="8">
      <c r="A8" s="17" t="inlineStr">
        <is>
          <t>QA CROSS-CHECKS</t>
        </is>
      </c>
      <c r="B8" s="18" t="n"/>
      <c r="C8" s="18" t="n"/>
      <c r="D8" s="18" t="n"/>
      <c r="E8" s="18" t="n"/>
      <c r="F8" s="19" t="n"/>
    </row>
    <row r="9">
      <c r="A9" s="20" t="inlineStr">
        <is>
          <t>WAvg adjusted unit price (SA-weighted)</t>
        </is>
      </c>
      <c r="B9" s="18" t="n"/>
      <c r="C9" s="18" t="n"/>
      <c r="D9" s="19" t="n"/>
      <c r="E9" s="9">
        <f>SUMPRODUCT(W4:W6,F4:F6)/SUM(F4:F6)</f>
        <v/>
      </c>
    </row>
    <row r="10">
      <c r="A10" s="20" t="inlineStr">
        <is>
          <t>WAvg effective SA</t>
        </is>
      </c>
      <c r="B10" s="18" t="n"/>
      <c r="C10" s="18" t="n"/>
      <c r="D10" s="19" t="n"/>
      <c r="E10" s="12">
        <f>SUMPRODUCT(M4:M6,F4:F6)/SUM(F4:F6)</f>
        <v/>
      </c>
    </row>
    <row r="11">
      <c r="A11" s="20" t="inlineStr">
        <is>
          <t>Sum of effective SAs</t>
        </is>
      </c>
      <c r="B11" s="18" t="n"/>
      <c r="C11" s="18" t="n"/>
      <c r="D11" s="19" t="n"/>
      <c r="E11" s="12">
        <f>SUM(M4:M6)</f>
        <v/>
      </c>
    </row>
  </sheetData>
  <mergeCells count="5">
    <mergeCell ref="A9:D9"/>
    <mergeCell ref="A8:F8"/>
    <mergeCell ref="A1:X1"/>
    <mergeCell ref="A11:D1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SUBJECT &amp; RENTAL CONCLUSION</t>
        </is>
      </c>
    </row>
    <row r="3">
      <c r="A3" s="20" t="inlineStr">
        <is>
          <t>Subject address</t>
        </is>
      </c>
      <c r="B3" s="4" t="inlineStr">
        <is>
          <t>Units 6-11 and 13, 18/F, Grandtech Centre, No. 8 On Ping Street, Shatin</t>
        </is>
      </c>
    </row>
    <row r="4">
      <c r="A4" s="20" t="inlineStr">
        <is>
          <t>Valuation date</t>
        </is>
      </c>
      <c r="B4" s="21" t="n">
        <v>46235</v>
      </c>
    </row>
    <row r="5">
      <c r="A5" s="20" t="inlineStr">
        <is>
          <t>Valuer</t>
        </is>
      </c>
      <c r="B5" s="4" t="inlineStr">
        <is>
          <t>BMA</t>
        </is>
      </c>
    </row>
    <row r="6">
      <c r="A6" s="20" t="inlineStr">
        <is>
          <t>Subject price index</t>
        </is>
      </c>
      <c r="B6" s="8" t="n">
        <v>366.2</v>
      </c>
    </row>
    <row r="7">
      <c r="A7" s="20" t="inlineStr">
        <is>
          <t>Subject saleable area (sqm)</t>
        </is>
      </c>
      <c r="B7" s="8" t="n">
        <v>935.5</v>
      </c>
    </row>
    <row r="8">
      <c r="A8" s="20" t="inlineStr">
        <is>
          <t>Subject ancillary platform (sqm)</t>
        </is>
      </c>
      <c r="B8" s="8" t="n">
        <v>120</v>
      </c>
    </row>
    <row r="9">
      <c r="A9" s="20" t="inlineStr">
        <is>
          <t>Subject platform weighting</t>
        </is>
      </c>
      <c r="B9" s="11" t="n">
        <v>0.5</v>
      </c>
    </row>
    <row r="10">
      <c r="A10" s="20" t="inlineStr">
        <is>
          <t>Subject effective SA (sqm)</t>
        </is>
      </c>
      <c r="B10" s="12">
        <f>B7+B8*B9</f>
        <v/>
      </c>
    </row>
    <row r="12">
      <c r="A12" s="22" t="inlineStr">
        <is>
          <t>ADOPTED UNIT RATE (HK$/sqm)</t>
        </is>
      </c>
      <c r="B12" s="23" t="n">
        <v>225</v>
      </c>
    </row>
    <row r="13">
      <c r="A13" s="22" t="inlineStr">
        <is>
          <t>MR (monthly, HK$)</t>
        </is>
      </c>
      <c r="B13" s="24">
        <f>ROUND(B10*B12,0)</f>
        <v/>
      </c>
    </row>
    <row r="14">
      <c r="A14" s="20" t="inlineStr">
        <is>
          <t>Adopted rate (HK$/sqft)</t>
        </is>
      </c>
      <c r="B14" s="9">
        <f>ROUND(B12/10.76391,0)</f>
        <v/>
      </c>
    </row>
    <row r="16">
      <c r="A16" s="20" t="inlineStr">
        <is>
          <t>Highest adjusted comparable</t>
        </is>
      </c>
      <c r="B16" s="25">
        <f>MAX(Comps!V4:V6)</f>
        <v/>
      </c>
    </row>
    <row r="17">
      <c r="A17" s="20" t="inlineStr">
        <is>
          <t>Lowest adjusted comparable</t>
        </is>
      </c>
      <c r="B17" s="25">
        <f>MIN(Comps!V4:V6)</f>
        <v/>
      </c>
    </row>
    <row r="18">
      <c r="A18" s="20" t="inlineStr">
        <is>
          <t>Spread (unrounded basis)</t>
        </is>
      </c>
      <c r="B18" s="13">
        <f>ROUND((MAX(Comps!W4:W6)-MIN(Comps!W4:W6))/MIN(Comps!W4:W6),3)</f>
        <v/>
      </c>
    </row>
    <row r="20">
      <c r="A20" s="20" t="inlineStr">
        <is>
          <t>Comparables used</t>
        </is>
      </c>
      <c r="B20" s="26">
        <f>COUNT(Comps!A4:A6)</f>
        <v/>
      </c>
    </row>
    <row r="22">
      <c r="A22" s="27" t="inlineStr">
        <is>
          <t>MR is derived from the subject's effective SA so that the adopted rate, which was itself concluded on an effective-SA basis, reproduces the comparable unit prices.</t>
        </is>
      </c>
    </row>
    <row r="23"/>
  </sheetData>
  <mergeCells count="2">
    <mergeCell ref="A1:F1"/>
    <mergeCell ref="A22:F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TERM &amp; REVERSION — INCOME APPROACH</t>
        </is>
      </c>
    </row>
    <row r="3">
      <c r="A3" s="17" t="inlineStr">
        <is>
          <t>INITIAL TERM</t>
        </is>
      </c>
      <c r="B3" s="18" t="n"/>
      <c r="C3" s="19" t="n"/>
    </row>
    <row r="4">
      <c r="A4" s="20" t="inlineStr">
        <is>
          <t>Initial term (years)</t>
        </is>
      </c>
      <c r="B4" s="5" t="n">
        <v>3</v>
      </c>
    </row>
    <row r="5">
      <c r="A5" s="20" t="inlineStr">
        <is>
          <t>Term discount rate</t>
        </is>
      </c>
      <c r="B5" s="28" t="n">
        <v>0.044</v>
      </c>
    </row>
    <row r="6">
      <c r="A6" s="20" t="inlineStr">
        <is>
          <t>Term rent (annual, HK$)</t>
        </is>
      </c>
      <c r="B6" s="25">
        <f>Summary!B13*12</f>
        <v/>
      </c>
    </row>
    <row r="7">
      <c r="A7" s="20" t="inlineStr">
        <is>
          <t>YP factor (term)</t>
        </is>
      </c>
      <c r="B7" s="29">
        <f>ROUND((1-(1+B5)^-B4)/B5,4)</f>
        <v/>
      </c>
    </row>
    <row r="8">
      <c r="A8" s="20" t="inlineStr">
        <is>
          <t>PV of term</t>
        </is>
      </c>
      <c r="B8" s="9">
        <f>ROUND(B6*B7,0)</f>
        <v/>
      </c>
    </row>
    <row r="10">
      <c r="A10" s="17" t="inlineStr">
        <is>
          <t>REVERSION</t>
        </is>
      </c>
      <c r="B10" s="18" t="n"/>
      <c r="C10" s="19" t="n"/>
    </row>
    <row r="11">
      <c r="A11" s="20" t="inlineStr">
        <is>
          <t>Reversion capitalisation rate</t>
        </is>
      </c>
      <c r="B11" s="28" t="n">
        <v>0.049</v>
      </c>
    </row>
    <row r="12">
      <c r="A12" s="20" t="inlineStr">
        <is>
          <t>MR (monthly, from Summary)</t>
        </is>
      </c>
      <c r="B12" s="25">
        <f>Summary!B13</f>
        <v/>
      </c>
    </row>
    <row r="13">
      <c r="A13" s="20" t="inlineStr">
        <is>
          <t>Reversion rent (annual)</t>
        </is>
      </c>
      <c r="B13" s="9">
        <f>ROUND(B12*12,0)</f>
        <v/>
      </c>
    </row>
    <row r="14">
      <c r="A14" s="20" t="inlineStr">
        <is>
          <t>YP perpetuity</t>
        </is>
      </c>
      <c r="B14" s="29">
        <f>ROUND(1/B11,4)</f>
        <v/>
      </c>
    </row>
    <row r="15">
      <c r="A15" s="20" t="inlineStr">
        <is>
          <t>PV factor (n years)</t>
        </is>
      </c>
      <c r="B15" s="29">
        <f>ROUND(1/(1+B11)^B4,4)</f>
        <v/>
      </c>
    </row>
    <row r="16">
      <c r="A16" s="20" t="inlineStr">
        <is>
          <t>PV of reversion</t>
        </is>
      </c>
      <c r="B16" s="9">
        <f>ROUND(ROUND(B13*B14,0)*B15,0)</f>
        <v/>
      </c>
    </row>
    <row r="18">
      <c r="A18" s="22" t="inlineStr">
        <is>
          <t>Total capital value</t>
        </is>
      </c>
      <c r="B18" s="24">
        <f>B8+B16</f>
        <v/>
      </c>
    </row>
    <row r="19">
      <c r="A19" s="22" t="inlineStr">
        <is>
          <t>SAY (nearest $1M)</t>
        </is>
      </c>
      <c r="B19" s="24">
        <f>ROUND(B18/1000000,0)*1000000</f>
        <v/>
      </c>
    </row>
    <row r="20">
      <c r="A20" s="20" t="inlineStr">
        <is>
          <t>Capital value (HK$/sqm effective SA)</t>
        </is>
      </c>
      <c r="B20" s="25">
        <f>ROUND(B18/Summary!B10,0)</f>
        <v/>
      </c>
    </row>
  </sheetData>
  <mergeCells count="3">
    <mergeCell ref="A10:C10"/>
    <mergeCell ref="A3:C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subject xmlns:dc="http://purl.org/dc/elements/1.1/"/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2026-10-06T13:13:34Z</dcterms:modified>
  <cp:lastModifiedBy>valuation-forge</cp:lastModifiedBy>
  <cp:category/>
  <cp:revision>1</cp:revision>
  <cp:keywords/>
</cp:coreProperties>
</file>